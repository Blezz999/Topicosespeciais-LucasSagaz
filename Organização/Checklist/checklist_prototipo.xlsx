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Rfj4XrDyk61pYa3oDKmFVvRskPlQDFEk4bzJBWmCTw="/>
    </ext>
  </extLst>
</workbook>
</file>

<file path=xl/sharedStrings.xml><?xml version="1.0" encoding="utf-8"?>
<sst xmlns="http://schemas.openxmlformats.org/spreadsheetml/2006/main" count="71" uniqueCount="43">
  <si>
    <t>Etapa</t>
  </si>
  <si>
    <t>Tarefa</t>
  </si>
  <si>
    <t>Peso (%)</t>
  </si>
  <si>
    <r>
      <rPr>
        <rFont val="Calibri"/>
        <b/>
        <color theme="1"/>
        <sz val="18.0"/>
      </rPr>
      <t xml:space="preserve">Tarefa concluída
</t>
    </r>
    <r>
      <rPr>
        <rFont val="Calibri"/>
        <b/>
        <color theme="1"/>
        <sz val="10.0"/>
      </rPr>
      <t>(SIM, NÃO)</t>
    </r>
  </si>
  <si>
    <t>Progresso (%) Total da Etapa</t>
  </si>
  <si>
    <t>Pesquisas</t>
  </si>
  <si>
    <t>Estudo sobre metodologias de desenvolvimento (Ágil, Cascata, etc.)</t>
  </si>
  <si>
    <t>NÃO</t>
  </si>
  <si>
    <t>Pesquisa sobre boas práticas no uso de HTML, CSS, JavaScript</t>
  </si>
  <si>
    <t>Pesquisa sobre boas práticas no uso de PHP e MySQL</t>
  </si>
  <si>
    <t>Definição de tecnologias/ferramentas auxiliares</t>
  </si>
  <si>
    <t>Análise de Requisitos</t>
  </si>
  <si>
    <t>Levantamento das funcionalidades principais</t>
  </si>
  <si>
    <t>Identificação de requisitos funcionais e não funcionais</t>
  </si>
  <si>
    <t>Definição do modelo de dados inicial (MER)</t>
  </si>
  <si>
    <t>Criação de backlog ou lista priorizada de funcionalidades</t>
  </si>
  <si>
    <t>Validação dos requisitos com stakeholders</t>
  </si>
  <si>
    <t>Desenvolvimento
Front-end e Back-end
Banco de Dados</t>
  </si>
  <si>
    <t>Estrutura básica da Tela Inicial em HTML</t>
  </si>
  <si>
    <t>Estilização em CSS</t>
  </si>
  <si>
    <t>Funcionalidades dinâmicas em JavaScript</t>
  </si>
  <si>
    <t>Integração do front com o back-end</t>
  </si>
  <si>
    <t>ATIVIDADES DO FRONT-END</t>
  </si>
  <si>
    <t>Configuração do ambiente PHP e servidor</t>
  </si>
  <si>
    <t>Estrutura inicial do sistema</t>
  </si>
  <si>
    <t>Implementação da Dashboard1</t>
  </si>
  <si>
    <t>Implementação da Dashboard2</t>
  </si>
  <si>
    <t>Implementação do Módulo de Relatórios</t>
  </si>
  <si>
    <t>ATIVIDADES DO BACK-END</t>
  </si>
  <si>
    <t>Criação do banco no MySQL</t>
  </si>
  <si>
    <t>Criação de tabelas e relacionamentos</t>
  </si>
  <si>
    <t>Consultas SQL para Dashboards</t>
  </si>
  <si>
    <t>Consultas SQL para Relatórios</t>
  </si>
  <si>
    <t>ATIVIDADES DO BANCO DE DADOS</t>
  </si>
  <si>
    <t>Testes</t>
  </si>
  <si>
    <t>Testes de interface (responsividade, usabilidade)</t>
  </si>
  <si>
    <t>Testes de integração front-end ↔ back-end</t>
  </si>
  <si>
    <t>Testes de consultas SQL</t>
  </si>
  <si>
    <t>Testes de relatórios</t>
  </si>
  <si>
    <t>Registro de bugs encontrados</t>
  </si>
  <si>
    <t>Correção dos erros identificados</t>
  </si>
  <si>
    <t>Validação final com usuários</t>
  </si>
  <si>
    <t>Progresso Total do Projeto: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</si>
</sst>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Calibri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  <font>
      <b/>
      <sz val="1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vertical="center"/>
    </xf>
    <xf borderId="1" fillId="0" fontId="4" numFmtId="0" xfId="0" applyBorder="1" applyFont="1"/>
    <xf borderId="2" fillId="0" fontId="4" numFmtId="10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4" numFmtId="10" xfId="0" applyAlignment="1" applyBorder="1" applyFont="1" applyNumberFormat="1">
      <alignment vertical="center"/>
    </xf>
    <xf borderId="3" fillId="0" fontId="5" numFmtId="0" xfId="0" applyBorder="1" applyFont="1"/>
    <xf borderId="4" fillId="0" fontId="5" numFmtId="0" xfId="0" applyBorder="1" applyFont="1"/>
    <xf borderId="5" fillId="3" fontId="3" numFmtId="0" xfId="0" applyAlignment="1" applyBorder="1" applyFill="1" applyFont="1">
      <alignment vertical="center"/>
    </xf>
    <xf borderId="6" fillId="0" fontId="5" numFmtId="0" xfId="0" applyBorder="1" applyFont="1"/>
    <xf borderId="7" fillId="0" fontId="5" numFmtId="0" xfId="0" applyBorder="1" applyFont="1"/>
    <xf borderId="2" fillId="0" fontId="3" numFmtId="0" xfId="0" applyAlignment="1" applyBorder="1" applyFont="1">
      <alignment readingOrder="0" shrinkToFit="0" vertical="center" wrapText="1"/>
    </xf>
    <xf borderId="2" fillId="0" fontId="4" numFmtId="10" xfId="0" applyAlignment="1" applyBorder="1" applyFont="1" applyNumberFormat="1">
      <alignment horizontal="right" vertical="center"/>
    </xf>
    <xf borderId="5" fillId="4" fontId="6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shrinkToFit="0" vertical="center" wrapText="1"/>
    </xf>
    <xf borderId="5" fillId="0" fontId="4" numFmtId="0" xfId="0" applyBorder="1" applyFont="1"/>
    <xf borderId="5" fillId="5" fontId="7" numFmtId="0" xfId="0" applyBorder="1" applyFill="1" applyFont="1"/>
    <xf borderId="1" fillId="5" fontId="6" numFmtId="10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58.29"/>
    <col customWidth="1" min="3" max="3" width="13.29"/>
    <col customWidth="1" min="4" max="4" width="24.0"/>
    <col customWidth="1" min="5" max="5" width="29.71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>
        <v>0.1</v>
      </c>
      <c r="D2" s="7" t="s">
        <v>7</v>
      </c>
      <c r="E2" s="8">
        <f>(COUNTIF(D2:D5,"=SIM") / COUNTA(D2:D5)) * 10%</f>
        <v>0</v>
      </c>
    </row>
    <row r="3">
      <c r="A3" s="9"/>
      <c r="B3" s="5" t="s">
        <v>8</v>
      </c>
      <c r="C3" s="9"/>
      <c r="D3" s="7" t="s">
        <v>7</v>
      </c>
      <c r="E3" s="9"/>
    </row>
    <row r="4">
      <c r="A4" s="9"/>
      <c r="B4" s="5" t="s">
        <v>9</v>
      </c>
      <c r="C4" s="9"/>
      <c r="D4" s="7" t="s">
        <v>7</v>
      </c>
      <c r="E4" s="9"/>
    </row>
    <row r="5">
      <c r="A5" s="10"/>
      <c r="B5" s="5" t="s">
        <v>10</v>
      </c>
      <c r="C5" s="10"/>
      <c r="D5" s="7" t="s">
        <v>7</v>
      </c>
      <c r="E5" s="10"/>
    </row>
    <row r="6">
      <c r="A6" s="11"/>
      <c r="B6" s="12"/>
      <c r="C6" s="12"/>
      <c r="D6" s="12"/>
      <c r="E6" s="13"/>
    </row>
    <row r="7">
      <c r="A7" s="4" t="s">
        <v>11</v>
      </c>
      <c r="B7" s="5" t="s">
        <v>12</v>
      </c>
      <c r="C7" s="6">
        <v>0.15</v>
      </c>
      <c r="D7" s="7" t="s">
        <v>7</v>
      </c>
      <c r="E7" s="8">
        <f>(COUNTIF(D7:D11,"=SIM") / COUNTA(D7:D11)) * 15%</f>
        <v>0</v>
      </c>
    </row>
    <row r="8">
      <c r="A8" s="9"/>
      <c r="B8" s="5" t="s">
        <v>13</v>
      </c>
      <c r="C8" s="9"/>
      <c r="D8" s="7" t="s">
        <v>7</v>
      </c>
      <c r="E8" s="9"/>
    </row>
    <row r="9">
      <c r="A9" s="9"/>
      <c r="B9" s="5" t="s">
        <v>14</v>
      </c>
      <c r="C9" s="9"/>
      <c r="D9" s="7" t="s">
        <v>7</v>
      </c>
      <c r="E9" s="9"/>
    </row>
    <row r="10">
      <c r="A10" s="9"/>
      <c r="B10" s="5" t="s">
        <v>15</v>
      </c>
      <c r="C10" s="9"/>
      <c r="D10" s="7" t="s">
        <v>7</v>
      </c>
      <c r="E10" s="9"/>
    </row>
    <row r="11">
      <c r="A11" s="10"/>
      <c r="B11" s="5" t="s">
        <v>16</v>
      </c>
      <c r="C11" s="10"/>
      <c r="D11" s="7" t="s">
        <v>7</v>
      </c>
      <c r="E11" s="10"/>
    </row>
    <row r="12">
      <c r="A12" s="11"/>
      <c r="B12" s="12"/>
      <c r="C12" s="12"/>
      <c r="D12" s="12"/>
      <c r="E12" s="13"/>
    </row>
    <row r="13">
      <c r="A13" s="14" t="s">
        <v>17</v>
      </c>
      <c r="B13" s="5" t="s">
        <v>18</v>
      </c>
      <c r="C13" s="6">
        <v>0.5</v>
      </c>
      <c r="D13" s="7" t="s">
        <v>7</v>
      </c>
      <c r="E13" s="15">
        <f>(COUNTIF((D13:D16):(D18:D22):(D24:D27),"=SIM") / COUNTA((D13:D16):(D18:D22):(D24:D27))) * 50%</f>
        <v>0</v>
      </c>
    </row>
    <row r="14">
      <c r="A14" s="9"/>
      <c r="B14" s="5" t="s">
        <v>19</v>
      </c>
      <c r="C14" s="9"/>
      <c r="D14" s="7" t="s">
        <v>7</v>
      </c>
      <c r="E14" s="9"/>
    </row>
    <row r="15">
      <c r="A15" s="9"/>
      <c r="B15" s="5" t="s">
        <v>20</v>
      </c>
      <c r="C15" s="9"/>
      <c r="D15" s="7" t="s">
        <v>7</v>
      </c>
      <c r="E15" s="9"/>
    </row>
    <row r="16">
      <c r="A16" s="9"/>
      <c r="B16" s="5" t="s">
        <v>21</v>
      </c>
      <c r="C16" s="10"/>
      <c r="D16" s="7" t="s">
        <v>7</v>
      </c>
      <c r="E16" s="9"/>
    </row>
    <row r="17">
      <c r="A17" s="9"/>
      <c r="B17" s="16" t="s">
        <v>22</v>
      </c>
      <c r="C17" s="12"/>
      <c r="D17" s="13"/>
      <c r="E17" s="9"/>
    </row>
    <row r="18">
      <c r="A18" s="9"/>
      <c r="B18" s="5" t="s">
        <v>23</v>
      </c>
      <c r="C18" s="6">
        <v>0.5</v>
      </c>
      <c r="D18" s="7" t="s">
        <v>7</v>
      </c>
      <c r="E18" s="9"/>
    </row>
    <row r="19">
      <c r="A19" s="9"/>
      <c r="B19" s="5" t="s">
        <v>24</v>
      </c>
      <c r="C19" s="9"/>
      <c r="D19" s="7" t="s">
        <v>7</v>
      </c>
      <c r="E19" s="9"/>
    </row>
    <row r="20">
      <c r="A20" s="9"/>
      <c r="B20" s="5" t="s">
        <v>25</v>
      </c>
      <c r="C20" s="9"/>
      <c r="D20" s="7" t="s">
        <v>7</v>
      </c>
      <c r="E20" s="9"/>
    </row>
    <row r="21">
      <c r="A21" s="9"/>
      <c r="B21" s="5" t="s">
        <v>26</v>
      </c>
      <c r="C21" s="9"/>
      <c r="D21" s="7" t="s">
        <v>7</v>
      </c>
      <c r="E21" s="9"/>
    </row>
    <row r="22">
      <c r="A22" s="9"/>
      <c r="B22" s="5" t="s">
        <v>27</v>
      </c>
      <c r="C22" s="10"/>
      <c r="D22" s="7" t="s">
        <v>7</v>
      </c>
      <c r="E22" s="9"/>
    </row>
    <row r="23">
      <c r="A23" s="9"/>
      <c r="B23" s="16" t="s">
        <v>28</v>
      </c>
      <c r="C23" s="12"/>
      <c r="D23" s="13"/>
      <c r="E23" s="9"/>
    </row>
    <row r="24">
      <c r="A24" s="9"/>
      <c r="B24" s="5" t="s">
        <v>29</v>
      </c>
      <c r="C24" s="6">
        <v>0.5</v>
      </c>
      <c r="D24" s="7" t="s">
        <v>7</v>
      </c>
      <c r="E24" s="9"/>
    </row>
    <row r="25" ht="15.75" customHeight="1">
      <c r="A25" s="9"/>
      <c r="B25" s="5" t="s">
        <v>30</v>
      </c>
      <c r="C25" s="9"/>
      <c r="D25" s="7" t="s">
        <v>7</v>
      </c>
      <c r="E25" s="9"/>
    </row>
    <row r="26" ht="15.75" customHeight="1">
      <c r="A26" s="9"/>
      <c r="B26" s="5" t="s">
        <v>31</v>
      </c>
      <c r="C26" s="9"/>
      <c r="D26" s="7" t="s">
        <v>7</v>
      </c>
      <c r="E26" s="9"/>
    </row>
    <row r="27" ht="15.75" customHeight="1">
      <c r="A27" s="9"/>
      <c r="B27" s="5" t="s">
        <v>32</v>
      </c>
      <c r="C27" s="10"/>
      <c r="D27" s="7" t="s">
        <v>7</v>
      </c>
      <c r="E27" s="9"/>
    </row>
    <row r="28" ht="15.75" customHeight="1">
      <c r="A28" s="10"/>
      <c r="B28" s="16" t="s">
        <v>33</v>
      </c>
      <c r="C28" s="12"/>
      <c r="D28" s="13"/>
      <c r="E28" s="10"/>
    </row>
    <row r="29" ht="15.75" customHeight="1">
      <c r="A29" s="11"/>
      <c r="B29" s="12"/>
      <c r="C29" s="12"/>
      <c r="D29" s="12"/>
      <c r="E29" s="13"/>
    </row>
    <row r="30" ht="15.75" customHeight="1">
      <c r="A30" s="17" t="s">
        <v>34</v>
      </c>
      <c r="B30" s="5" t="s">
        <v>35</v>
      </c>
      <c r="C30" s="6">
        <v>0.25</v>
      </c>
      <c r="D30" s="7" t="s">
        <v>7</v>
      </c>
      <c r="E30" s="15">
        <f>(COUNTIF(D30:D36,"=SIM") / COUNTA(D30:D36)) * 25%</f>
        <v>0</v>
      </c>
    </row>
    <row r="31" ht="15.75" customHeight="1">
      <c r="A31" s="9"/>
      <c r="B31" s="5" t="s">
        <v>36</v>
      </c>
      <c r="C31" s="9"/>
      <c r="D31" s="7" t="s">
        <v>7</v>
      </c>
      <c r="E31" s="9"/>
    </row>
    <row r="32" ht="15.75" customHeight="1">
      <c r="A32" s="9"/>
      <c r="B32" s="5" t="s">
        <v>37</v>
      </c>
      <c r="C32" s="9"/>
      <c r="D32" s="7" t="s">
        <v>7</v>
      </c>
      <c r="E32" s="9"/>
    </row>
    <row r="33" ht="15.75" customHeight="1">
      <c r="A33" s="9"/>
      <c r="B33" s="5" t="s">
        <v>38</v>
      </c>
      <c r="C33" s="9"/>
      <c r="D33" s="7" t="s">
        <v>7</v>
      </c>
      <c r="E33" s="9"/>
    </row>
    <row r="34" ht="15.75" customHeight="1">
      <c r="A34" s="9"/>
      <c r="B34" s="5" t="s">
        <v>39</v>
      </c>
      <c r="C34" s="9"/>
      <c r="D34" s="7" t="s">
        <v>7</v>
      </c>
      <c r="E34" s="9"/>
    </row>
    <row r="35" ht="15.75" customHeight="1">
      <c r="A35" s="9"/>
      <c r="B35" s="5" t="s">
        <v>40</v>
      </c>
      <c r="C35" s="9"/>
      <c r="D35" s="7" t="s">
        <v>7</v>
      </c>
      <c r="E35" s="9"/>
    </row>
    <row r="36" ht="15.75" customHeight="1">
      <c r="A36" s="10"/>
      <c r="B36" s="5" t="s">
        <v>41</v>
      </c>
      <c r="C36" s="10"/>
      <c r="D36" s="7" t="s">
        <v>7</v>
      </c>
      <c r="E36" s="10"/>
    </row>
    <row r="37" ht="15.75" customHeight="1">
      <c r="A37" s="18"/>
      <c r="B37" s="12"/>
      <c r="C37" s="12"/>
      <c r="D37" s="12"/>
      <c r="E37" s="13"/>
    </row>
    <row r="38" ht="15.75" customHeight="1">
      <c r="A38" s="19" t="s">
        <v>42</v>
      </c>
      <c r="B38" s="12"/>
      <c r="C38" s="12"/>
      <c r="D38" s="13"/>
      <c r="E38" s="20">
        <f>SUM(E2,E7,E13,E30)</f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2">
    <mergeCell ref="A2:A5"/>
    <mergeCell ref="C2:C5"/>
    <mergeCell ref="E2:E5"/>
    <mergeCell ref="A6:E6"/>
    <mergeCell ref="C24:C27"/>
    <mergeCell ref="B23:D23"/>
    <mergeCell ref="B28:D28"/>
    <mergeCell ref="C7:C11"/>
    <mergeCell ref="C13:C16"/>
    <mergeCell ref="C18:C22"/>
    <mergeCell ref="C30:C36"/>
    <mergeCell ref="A7:A11"/>
    <mergeCell ref="E7:E11"/>
    <mergeCell ref="E13:E28"/>
    <mergeCell ref="E30:E36"/>
    <mergeCell ref="A30:A36"/>
    <mergeCell ref="A13:A28"/>
    <mergeCell ref="A29:E29"/>
    <mergeCell ref="A38:D38"/>
    <mergeCell ref="A37:E37"/>
    <mergeCell ref="A12:E12"/>
    <mergeCell ref="B17:D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2025-09-11T02:22:24Z</dcterms:created>
</cp:coreProperties>
</file>